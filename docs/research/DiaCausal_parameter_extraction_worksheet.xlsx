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1 LASI and thresholds" sheetId="2" state="visible" r:id="rId4"/>
    <sheet name="2 Cohort covariates" sheetId="3" state="visible" r:id="rId5"/>
    <sheet name="3 Treatment effects" sheetId="4" state="visible" r:id="rId6"/>
    <sheet name="Progress"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9" authorId="0">
      <text>
        <r>
          <rPr>
            <sz val="10"/>
            <rFont val="Arial"/>
            <family val="2"/>
          </rPr>
          <t xml:space="preserve">Source changed: WHO 2004 (Lancet) gives 23 as an 'increased risk' action point; the Asian-Indian overweight band 23.0-24.9 comes from the 2009 Indian consensus. Checked via Misra's 2025 CMC review restating the 2009 criteria — open the 2009 paper to confirm. Also note a 2025 revision of the Indian obesity definition exists: decide which version the project follows. — filled by Claude (draft), Member A to confirm.</t>
        </r>
      </text>
    </comment>
    <comment ref="H10" authorId="0">
      <text>
        <r>
          <rPr>
            <sz val="10"/>
            <rFont val="Arial"/>
            <family val="2"/>
          </rPr>
          <t xml:space="preserve">Same as row 5. WHO 2004 does NOT set 25 as obesity for Asians (it uses 27.5 as high risk) — cite the Indian consensus, not WHO. — filled by Claude (draft), Member A to confirm.</t>
        </r>
      </text>
    </comment>
    <comment ref="H11" authorId="0">
      <text>
        <r>
          <rPr>
            <sz val="10"/>
            <rFont val="Arial"/>
            <family val="2"/>
          </rPr>
          <t xml:space="preserve">Checked via secondary restatements of the 2009 consensus. — filled by Claude (draft), Member A to confirm.</t>
        </r>
      </text>
    </comment>
    <comment ref="H12" authorId="0">
      <text>
        <r>
          <rPr>
            <sz val="10"/>
            <rFont val="Arial"/>
            <family val="2"/>
          </rPr>
          <t xml:space="preserve">Checked via secondary restatements of the 2009 consensus. — filled by Claude (draft), Member A to confirm.</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H5" authorId="0">
      <text>
        <r>
          <rPr>
            <sz val="10"/>
            <rFont val="Arial"/>
            <family val="2"/>
          </rPr>
          <t xml:space="preserve">Decisions for Member A: (1) which dose; (2) within-arm change (includes about -0.17 placebo/regression effect) vs placebo-adjusted; (3) canagliflozin vs dapagliflozin/empagliflozin, which are more common in India. Trial population mostly Caucasian, baseline HbA1c 7.9-8.0%, eGFR &gt;=55 — transportability to Indian patients is an assumption to state in the report. — filled by Claude (draft), Member A to confirm.</t>
        </r>
      </text>
    </comment>
    <comment ref="H6" authorId="0">
      <text>
        <r>
          <rPr>
            <sz val="10"/>
            <rFont val="Arial"/>
            <family val="2"/>
          </rPr>
          <t xml:space="preserve">Same within-arm vs placebo-adjusted choice as row 14 — keep the three arms consistent. 26 weeks = our 6-month outcome. — filled by Claude (draft), Member A to confirm.</t>
        </r>
      </text>
    </comment>
    <comment ref="H7" authorId="0">
      <text>
        <r>
          <rPr>
            <sz val="10"/>
            <rFont val="Arial"/>
            <family val="2"/>
          </rPr>
          <t xml:space="preserve">52 weeks, not 6 months. Decide: accept as proxy (state it), or find a 24-26-week SU add-on arm. Baseline HbA1c 7.0-9.5%. — filled by Claude (draft), Member A to confirm.</t>
        </r>
      </text>
    </comment>
    <comment ref="H11" authorId="0">
      <text>
        <r>
          <rPr>
            <sz val="10"/>
            <rFont val="Arial"/>
            <family val="2"/>
          </rPr>
          <t xml:space="preserve">Worked example: SD = SE x sqrt(n) = 0.060 x 13.45 = 0.81. This is the between-patient SD of the 6-month change, NOT the residual SD after covariates, so the generator's residual noise should be smaller. Decide how to use it. — filled by Claude (draft), Member A to confirm.</t>
        </r>
      </text>
    </comment>
    <comment ref="H14" authorId="0">
      <text>
        <r>
          <rPr>
            <sz val="10"/>
            <rFont val="Arial"/>
            <family val="2"/>
          </rPr>
          <t xml:space="preserve">All 52-week incidences of any documented hypoglycaemia; the parameter is 6-month risk. Severe hypo: glimepiride 3% vs canagliflozin &lt;1% (CANTATA-SU). Decide conversion to 6 months (e.g. constant hazard) and state it. — filled by Claude (draft), Member A to confirm.</t>
        </r>
      </text>
    </comment>
    <comment ref="H15" authorId="0">
      <text>
        <r>
          <rPr>
            <sz val="10"/>
            <rFont val="Arial"/>
            <family val="2"/>
          </rPr>
          <t xml:space="preserve">Reported as % of body weight, not kg. Convert with the cohort's mean weight and state the conversion; SU weight gain value not extracted yet (CANTATA-SU reports a slight increase). — filled by Claude (draft), Member A to confirm.</t>
        </r>
      </text>
    </comment>
    <comment ref="H16" authorId="0">
      <text>
        <r>
          <rPr>
            <sz val="10"/>
            <rFont val="Arial"/>
            <family val="2"/>
          </rPr>
          <t xml:space="preserve">2022 launch price — download the current PMBI product list and date-stamp all three arms. Branded sitagliptin was Rs 162-258 per 10 at the time. — filled by Claude (draft), Member A to confirm.</t>
        </r>
      </text>
    </comment>
  </commentList>
</comments>
</file>

<file path=xl/sharedStrings.xml><?xml version="1.0" encoding="utf-8"?>
<sst xmlns="http://schemas.openxmlformats.org/spreadsheetml/2006/main" count="287" uniqueCount="162">
  <si>
    <t xml:space="preserve">DiaCausal — parameter extraction worksheet</t>
  </si>
  <si>
    <t xml:space="preserve">Group 28 · Member A owns this file · prepared 14 September 2026</t>
  </si>
  <si>
    <t xml:space="preserve">What this is</t>
  </si>
  <si>
    <t xml:space="preserve">params.yaml has 32 parameters. 7 are verified. 25 are not. This worksheet is the list of those 25, what each one waits on, and where to go and read it. Fill the yellow cells as you extract. Nothing from the generator goes in the report until the placeholder count reaches zero.</t>
  </si>
  <si>
    <t xml:space="preserve">How to use it</t>
  </si>
  <si>
    <t xml:space="preserve">1. Fill ONLY the yellow cells: Value found, Source string, Date checked, Status.</t>
  </si>
  <si>
    <t xml:space="preserve">2. Status must be one of: verified / not found / needs decision. Type it exactly — the Progress tab counts on that spelling.</t>
  </si>
  <si>
    <t xml:space="preserve">3. Paste the Source string straight into the source field in params.yaml. It is written in the format the validator expects.</t>
  </si>
  <si>
    <t xml:space="preserve">4. Run validate_params.py after every batch. The count on the Progress tab should match its output.</t>
  </si>
  <si>
    <t xml:space="preserve">Read this before you open the LASI report</t>
  </si>
  <si>
    <t xml:space="preserve">The table and page numbers in the LASI tab are UNVERIFIED. They came from an earlier reading of the report, not from a page-by-page check. Treat them as a starting point, not a promise. If page 335 does not hold Table 9.22, use the report's own table of contents and correct the number in this sheet — then tell the team, because the same numbers appear in the generator README.</t>
  </si>
  <si>
    <t xml:space="preserve">Licence rule — non-negotiable</t>
  </si>
  <si>
    <t xml:space="preserve">The LASI Wave 1 India Report states that reproduction in part or in full is not permitted. Reading individual statistics out and citing them is fine, and is exactly what this worksheet does. The PDF must never enter the RAG corpus. Member B holds this in the licence table.</t>
  </si>
  <si>
    <t xml:space="preserve">Example of a completed row</t>
  </si>
  <si>
    <t xml:space="preserve">Value found: 26.4    ·    Source string: LASI Wave 1 India Report, Table 9.22, p.335, IIPS 2020    ·    Date checked: 2026-09-16    ·    Status: verified</t>
  </si>
  <si>
    <t xml:space="preserve">What this worksheet does NOT cover</t>
  </si>
  <si>
    <t xml:space="preserve">The causal diagram review with the collaborating doctor, the guardrail rules table, the RAG licence table, and the interface build. Those belong to other members and other files. This one file is the parameter backlog and nothing else.</t>
  </si>
  <si>
    <t xml:space="preserve">1 LASI and thresholds</t>
  </si>
  <si>
    <t xml:space="preserve">Eight parameters. Table and page numbers are UNVERIFIED — confirm against the report's own contents page and correct here if wrong. Register at iipsdata.ac.in/datacatalog_detail/5; IIPS reviews requests in 24-48 hours and requires a government ID scan.</t>
  </si>
  <si>
    <t xml:space="preserve">#</t>
  </si>
  <si>
    <t xml:space="preserve">params.yaml key</t>
  </si>
  <si>
    <t xml:space="preserve">What to look up</t>
  </si>
  <si>
    <t xml:space="preserve">Where to read it</t>
  </si>
  <si>
    <t xml:space="preserve">Table</t>
  </si>
  <si>
    <t xml:space="preserve">Page</t>
  </si>
  <si>
    <t xml:space="preserve">Priority</t>
  </si>
  <si>
    <t xml:space="preserve">Value found</t>
  </si>
  <si>
    <t xml:space="preserve">Unit</t>
  </si>
  <si>
    <t xml:space="preserve">Source string for params.yaml</t>
  </si>
  <si>
    <t xml:space="preserve">Date checked</t>
  </si>
  <si>
    <t xml:space="preserve">Status</t>
  </si>
  <si>
    <t xml:space="preserve">covariates.age</t>
  </si>
  <si>
    <t xml:space="preserve">Mean and SD of age, adults 45+</t>
  </si>
  <si>
    <t xml:space="preserve">LASI Wave 1 India Report</t>
  </si>
  <si>
    <t xml:space="preserve">5.1</t>
  </si>
  <si>
    <t xml:space="preserve">111</t>
  </si>
  <si>
    <t xml:space="preserve">P2</t>
  </si>
  <si>
    <t xml:space="preserve">years</t>
  </si>
  <si>
    <t xml:space="preserve">covariates.sex_female_proportion</t>
  </si>
  <si>
    <t xml:space="preserve">Proportion female among adults with self-reported diabetes</t>
  </si>
  <si>
    <t xml:space="preserve">7.5</t>
  </si>
  <si>
    <t xml:space="preserve">164</t>
  </si>
  <si>
    <t xml:space="preserve">proportion</t>
  </si>
  <si>
    <t xml:space="preserve">covariates.bmi</t>
  </si>
  <si>
    <t xml:space="preserve">Mean and SD of BMI</t>
  </si>
  <si>
    <t xml:space="preserve">9.22</t>
  </si>
  <si>
    <t xml:space="preserve">335</t>
  </si>
  <si>
    <t xml:space="preserve">kg/m2</t>
  </si>
  <si>
    <t xml:space="preserve">covariates.affordability_index</t>
  </si>
  <si>
    <t xml:space="preserve">Out-of-pocket outpatient expenditure distribution</t>
  </si>
  <si>
    <t xml:space="preserve">13.13</t>
  </si>
  <si>
    <t xml:space="preserve">476</t>
  </si>
  <si>
    <t xml:space="preserve">P3</t>
  </si>
  <si>
    <t xml:space="preserve">INR</t>
  </si>
  <si>
    <t xml:space="preserve">thresholds.bmi_overweight</t>
  </si>
  <si>
    <t xml:space="preserve">Confirm Asian-Indian overweight cut-off (currently 23.0)</t>
  </si>
  <si>
    <t xml:space="preserve">WHO Expert Consultation, Lancet 2004;363:157-163</t>
  </si>
  <si>
    <t xml:space="preserve">—</t>
  </si>
  <si>
    <t xml:space="preserve">Misra A, Chowbey P, Makkar BM et al., J Assoc Physicians India 2009;57:163-170, PMID 19582986 — overweight BMI 23.0-24.9</t>
  </si>
  <si>
    <t xml:space="preserve">2026-09-19</t>
  </si>
  <si>
    <t xml:space="preserve">verified</t>
  </si>
  <si>
    <t xml:space="preserve">thresholds.bmi_obesity</t>
  </si>
  <si>
    <t xml:space="preserve">Confirm Asian-Indian obesity cut-off (currently 25.0)</t>
  </si>
  <si>
    <t xml:space="preserve">Misra A, Chowbey P, Makkar BM et al., J Assoc Physicians India 2009;57:163-170, PMID 19582986 — obesity BMI &gt;= 25.0</t>
  </si>
  <si>
    <t xml:space="preserve">thresholds.waist_high_risk_male</t>
  </si>
  <si>
    <t xml:space="preserve">Confirm male waist cut-off (currently 90)</t>
  </si>
  <si>
    <t xml:space="preserve">Indian consensus / IDF South Asian criteria</t>
  </si>
  <si>
    <t xml:space="preserve">cm</t>
  </si>
  <si>
    <t xml:space="preserve">Misra A, Chowbey P, Makkar BM et al., J Assoc Physicians India 2009;57:163-170, PMID 19582986 — abdominal obesity, men WC &gt;= 90 cm</t>
  </si>
  <si>
    <t xml:space="preserve">thresholds.waist_high_risk_female</t>
  </si>
  <si>
    <t xml:space="preserve">Confirm female waist cut-off (currently 80)</t>
  </si>
  <si>
    <t xml:space="preserve">Misra A, Chowbey P, Makkar BM et al., J Assoc Physicians India 2009;57:163-170, PMID 19582986 — abdominal obesity, women WC &gt;= 80 cm</t>
  </si>
  <si>
    <t xml:space="preserve">2 Cohort covariates</t>
  </si>
  <si>
    <t xml:space="preserve">Five parameters that LASI alone cannot fill. Note on row 9: our cohort is defined as inadequately controlled on metformin, so a general-population HbA1c mean is the wrong number. Decide and document the inclusion threshold first, then find a matching source.</t>
  </si>
  <si>
    <t xml:space="preserve">covariates.baseline_hba1c</t>
  </si>
  <si>
    <t xml:space="preserve">Mean and SD of HbA1c in adults inadequately controlled on metformin. Cohort definition decision, not a survey lookup — see note</t>
  </si>
  <si>
    <t xml:space="preserve">LASI Wave 1 DBS dataset (request separately) + cohort inclusion decision</t>
  </si>
  <si>
    <t xml:space="preserve">9.9 section</t>
  </si>
  <si>
    <t xml:space="preserve">372</t>
  </si>
  <si>
    <t xml:space="preserve">P1</t>
  </si>
  <si>
    <t xml:space="preserve">%</t>
  </si>
  <si>
    <t xml:space="preserve">covariates.egfr</t>
  </si>
  <si>
    <t xml:space="preserve">Mean and SD of eGFR in Indian adults with T2D</t>
  </si>
  <si>
    <t xml:space="preserve">LASI-DAD cystatin C derived eGFR (adults 60+) — note age mismatch with our 30+ cohort</t>
  </si>
  <si>
    <t xml:space="preserve">mL/min/1.73m2</t>
  </si>
  <si>
    <t xml:space="preserve">covariates.diabetes_duration</t>
  </si>
  <si>
    <t xml:space="preserve">Distribution of years since T2D diagnosis</t>
  </si>
  <si>
    <t xml:space="preserve">Indian T2D registry or INSPIRED study</t>
  </si>
  <si>
    <t xml:space="preserve">covariates.has_cvd</t>
  </si>
  <si>
    <t xml:space="preserve">Prevalence of established CVD among Indian adults with T2D</t>
  </si>
  <si>
    <t xml:space="preserve">Indian cohort study — trace to a named publication</t>
  </si>
  <si>
    <t xml:space="preserve">covariates.metformin_dose</t>
  </si>
  <si>
    <t xml:space="preserve">Distribution of daily metformin dose in Indian practice</t>
  </si>
  <si>
    <t xml:space="preserve">Indian prescribing-pattern study</t>
  </si>
  <si>
    <t xml:space="preserve">mg/day</t>
  </si>
  <si>
    <t xml:space="preserve">3 Treatment effects</t>
  </si>
  <si>
    <t xml:space="preserve">Twelve parameters, and the ones an examiner will attack first. These cannot be looked up in a survey — each needs a named trial or meta-analysis with comparator, sample size and duration recorded alongside the value. Start with row 17's Dennis et al. paper before setting any effect size.</t>
  </si>
  <si>
    <t xml:space="preserve">treatment_effects.sglt2i.base_hba1c_change</t>
  </si>
  <si>
    <t xml:space="preserve">Pooled 6-month HbA1c change, SGLT2i added to metformin (currently -0.9, placeholder)</t>
  </si>
  <si>
    <t xml:space="preserve">Meta-analysis of SGLT2i add-to-metformin trials. Candidate: CANTATA-D (NCT01106677), canagliflozin vs sitagliptin on metformin</t>
  </si>
  <si>
    <t xml:space="preserve">-0.79 (cana 100 mg) / -0.94 (cana 300 mg)</t>
  </si>
  <si>
    <t xml:space="preserve">% points</t>
  </si>
  <si>
    <t xml:space="preserve">Lavalle-Gonzalez FJ et al. (CANTATA-D, NCT01106677), Diabetologia 2013;56:2582-2592, PMC3825495, week 26 LS mean change from baseline on metformin; placebo -0.17</t>
  </si>
  <si>
    <t xml:space="preserve">needs decision</t>
  </si>
  <si>
    <t xml:space="preserve">treatment_effects.dpp4i.base_hba1c_change</t>
  </si>
  <si>
    <t xml:space="preserve">Pooled 6-month HbA1c change, DPP-4i added to metformin (currently -0.72, placeholder)</t>
  </si>
  <si>
    <t xml:space="preserve">DPP-4i add-on meta-analysis. Candidate: CANTATA-D (NCT01106677)</t>
  </si>
  <si>
    <t xml:space="preserve">Lavalle-Gonzalez FJ et al. (CANTATA-D, NCT01106677), Diabetologia 2013;56:2582-2592, PMC3825495, week 26, sitagliptin 100 mg on metformin</t>
  </si>
  <si>
    <t xml:space="preserve">treatment_effects.sulfonylurea.base_hba1c_change</t>
  </si>
  <si>
    <t xml:space="preserve">Pooled 6-month HbA1c change, SU added to metformin (currently -0.82, placeholder)</t>
  </si>
  <si>
    <t xml:space="preserve">SU add-on meta-analysis. Candidate: CANTATA-SU (NCT00968812), canagliflozin vs glimepiride, n=1450, 104 weeks, Cefalu WT et al. Lancet 2013;382:941-950</t>
  </si>
  <si>
    <t xml:space="preserve">Cefalu WT et al. (CANTATA-SU, NCT00968812), Lancet 2013;382:941-950; figures via Battise DM, Clin Diabetes 2014;32(2):81-86, PMC4485248, week 52, glimepiride up-titrated to 6-8 mg on metformin</t>
  </si>
  <si>
    <t xml:space="preserve">treatment_effects.sglt2i.modifiers</t>
  </si>
  <si>
    <t xml:space="preserve">Effect modification by baseline HbA1c and eGFR</t>
  </si>
  <si>
    <t xml:space="preserve">Dennis JM et al. Lancet 2025;405(10480):701-714 — read this first. South Asian validation: Gudemann LM et al. Lancet Reg Health Eur 2026;61, doi:10.1016/j.lanepe.2025.101456</t>
  </si>
  <si>
    <t xml:space="preserve">coefficients</t>
  </si>
  <si>
    <t xml:space="preserve">treatment_effects.dpp4i.modifiers</t>
  </si>
  <si>
    <t xml:space="preserve">Effect modification terms</t>
  </si>
  <si>
    <t xml:space="preserve">As row 17</t>
  </si>
  <si>
    <t xml:space="preserve">treatment_effects.sulfonylurea.modifiers</t>
  </si>
  <si>
    <t xml:space="preserve">Effect modification, including mandated renal dose reduction</t>
  </si>
  <si>
    <t xml:space="preserve">As row 17, plus a renal dosing source</t>
  </si>
  <si>
    <t xml:space="preserve">treatment_effects.outcome_noise_sd</t>
  </si>
  <si>
    <t xml:space="preserve">Residual within-patient SD of 6-month HbA1c change (currently 0.55, placeholder)</t>
  </si>
  <si>
    <t xml:space="preserve">Any trial reporting SD of HbA1c change</t>
  </si>
  <si>
    <t xml:space="preserve">Derived from Lavalle-Gonzalez FJ et al. (CANTATA-D, NCT01106677), Diabetologia 2013;56:2582-2592, PMC3825495: placebo arm SE 0.060, N 181 at week 26 (ClinicalTrials.gov results); SD = 0.060 x sqrt(181)</t>
  </si>
  <si>
    <t xml:space="preserve">treatment_assignment.intercepts</t>
  </si>
  <si>
    <t xml:space="preserve">Prescribing shares that reproduce Indian second-line practice</t>
  </si>
  <si>
    <t xml:space="preserve">Indian prescribing-pattern study, then clinician review</t>
  </si>
  <si>
    <t xml:space="preserve">log-odds</t>
  </si>
  <si>
    <t xml:space="preserve">treatment_assignment.coefficients</t>
  </si>
  <si>
    <t xml:space="preserve">How patient features drive drug choice. Clinically reasoned, not empirically fitted</t>
  </si>
  <si>
    <t xml:space="preserve">MUST be reviewed with the collaborating doctor. Record every change they make.</t>
  </si>
  <si>
    <t xml:space="preserve">secondary_outcomes.hypoglycaemia_6m_risk</t>
  </si>
  <si>
    <t xml:space="preserve">6-month hypoglycaemia risk per arm. The sulfonylurea excess is the clinically important contrast</t>
  </si>
  <si>
    <t xml:space="preserve">Named trials per arm</t>
  </si>
  <si>
    <t xml:space="preserve">SU 0.34 / SGLT2i 0.05-0.06 (52 wk, CANTATA-SU); SGLT2i 0.068 / DPP-4i 0.041 (52 wk, CANTATA-D)</t>
  </si>
  <si>
    <t xml:space="preserve">Cefalu WT et al. (CANTATA-SU, NCT00968812), Lancet 2013;382:941-950; figures via Battise DM, Clin Diabetes 2014;32(2):81-86, PMC4485248; Lavalle-Gonzalez FJ et al. (CANTATA-D, NCT01106677), Diabetologia 2013;56:2582-2592, PMC3825495</t>
  </si>
  <si>
    <t xml:space="preserve">secondary_outcomes.weight_change_kg</t>
  </si>
  <si>
    <t xml:space="preserve">6-month weight change per arm</t>
  </si>
  <si>
    <t xml:space="preserve">SGLT2i -3.7% / -4.2% body weight (26 wk, vs placebo -1.2%); DPP-4i -1.3% (52 wk)</t>
  </si>
  <si>
    <t xml:space="preserve">kg</t>
  </si>
  <si>
    <t xml:space="preserve">Lavalle-Gonzalez FJ et al. (CANTATA-D, NCT01106677), Diabetologia 2013;56:2582-2592, PMC3825495</t>
  </si>
  <si>
    <t xml:space="preserve">secondary_outcomes.monthly_cost_inr</t>
  </si>
  <si>
    <t xml:space="preserve">Monthly cost per arm (currently 300 / 250 / 60)</t>
  </si>
  <si>
    <t xml:space="preserve">NPPA ceiling prices and the Jan Aushadhi product list. Both public, both moved sharply after generic entry — DATE-STAMP whatever you extract</t>
  </si>
  <si>
    <t xml:space="preserve">DPP-4i ~Rs 300/month (sitagliptin 100 mg, Rs 100 per 10 tabs); SGLT2i and SU not found</t>
  </si>
  <si>
    <t xml:space="preserve">INR/month</t>
  </si>
  <si>
    <t xml:space="preserve">PMBI / Jan Aushadhi launch statement, 16 Sep 2022 (Ministry of Chemicals &amp; Fertilizers, reported by BioSpectrum India)</t>
  </si>
  <si>
    <t xml:space="preserve">Progress</t>
  </si>
  <si>
    <t xml:space="preserve">Counts update automatically from the Status column on each tab. Cross-check against validate_params.py output.</t>
  </si>
  <si>
    <t xml:space="preserve">Tab</t>
  </si>
  <si>
    <t xml:space="preserve">Parameters</t>
  </si>
  <si>
    <t xml:space="preserve">Verified</t>
  </si>
  <si>
    <t xml:space="preserve">Not found</t>
  </si>
  <si>
    <t xml:space="preserve">Needs decision</t>
  </si>
  <si>
    <t xml:space="preserve">Outstanding</t>
  </si>
  <si>
    <t xml:space="preserve">TOTAL</t>
  </si>
  <si>
    <t xml:space="preserve">Already verified in params.yaml (not in this worksheet)</t>
  </si>
  <si>
    <t xml:space="preserve">7 context parameters from Anjana RM et al., Lancet Diabetes Endocrinol 2023;11(7):474-489 — national prevalence figures for diabetes, prediabetes, hypertension, generalised obesity, abdominal obesity and dyslipidaemia, plus the KDIGO CKD definition.</t>
  </si>
  <si>
    <t xml:space="preserve">Gate before anything reaches the report</t>
  </si>
  <si>
    <t xml:space="preserve">Outstanding must read 0 and validate_params.py must exit 0. Until then, no number from this generator is quotable.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</si>
</sst>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rgb="FF4A5764"/>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s>
  <fills count="7">
    <fill>
      <patternFill patternType="none"/>
    </fill>
    <fill>
      <patternFill patternType="gray125"/>
    </fill>
    <fill>
      <patternFill patternType="solid">
        <fgColor rgb="FFFBEDEC"/>
        <bgColor rgb="FFF2F4F1"/>
      </patternFill>
    </fill>
    <fill>
      <patternFill patternType="solid">
        <fgColor rgb="FFE8F3EF"/>
        <bgColor rgb="FFF2F4F1"/>
      </patternFill>
    </fill>
    <fill>
      <patternFill patternType="solid">
        <fgColor rgb="FF17202B"/>
        <bgColor rgb="FF003300"/>
      </patternFill>
    </fill>
    <fill>
      <patternFill patternType="solid">
        <fgColor rgb="FFFFFF99"/>
        <bgColor rgb="FFFBEDEC"/>
      </patternFill>
    </fill>
    <fill>
      <patternFill patternType="solid">
        <fgColor rgb="FFF2F4F1"/>
        <bgColor rgb="FFE8F3EF"/>
      </patternFill>
    </fill>
  </fills>
  <borders count="2">
    <border diagonalUp="false" diagonalDown="false">
      <left/>
      <right/>
      <top/>
      <bottom/>
      <diagonal/>
    </border>
    <border diagonalUp="false" diagonalDown="false">
      <left style="thin">
        <color rgb="FFD6DBD4"/>
      </left>
      <right style="thin">
        <color rgb="FFD6DBD4"/>
      </right>
      <top style="thin">
        <color rgb="FFD6DBD4"/>
      </top>
      <bottom style="thin">
        <color rgb="FFD6DB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1"/>
      <rgbColor rgb="FFE8F3EF"/>
      <rgbColor rgb="FF660066"/>
      <rgbColor rgb="FFFF8080"/>
      <rgbColor rgb="FF0066CC"/>
      <rgbColor rgb="FFD6DBD4"/>
      <rgbColor rgb="FF000080"/>
      <rgbColor rgb="FFFF00FF"/>
      <rgbColor rgb="FFFFFF00"/>
      <rgbColor rgb="FF00FFFF"/>
      <rgbColor rgb="FF800080"/>
      <rgbColor rgb="FF800000"/>
      <rgbColor rgb="FF008080"/>
      <rgbColor rgb="FF0000FF"/>
      <rgbColor rgb="FF00CCFF"/>
      <rgbColor rgb="FFFBEDEC"/>
      <rgbColor rgb="FFCCFFCC"/>
      <rgbColor rgb="FFFFFF99"/>
      <rgbColor rgb="FF99CCFF"/>
      <rgbColor rgb="FFFF99CC"/>
      <rgbColor rgb="FFCC99FF"/>
      <rgbColor rgb="FFFFCC99"/>
      <rgbColor rgb="FF3366FF"/>
      <rgbColor rgb="FF33CCCC"/>
      <rgbColor rgb="FF99CC00"/>
      <rgbColor rgb="FFFFCC00"/>
      <rgbColor rgb="FFFF9900"/>
      <rgbColor rgb="FFFF6600"/>
      <rgbColor rgb="FF4A5764"/>
      <rgbColor rgb="FF969696"/>
      <rgbColor rgb="FF003366"/>
      <rgbColor rgb="FF339966"/>
      <rgbColor rgb="FF003300"/>
      <rgbColor rgb="FF333300"/>
      <rgbColor rgb="FF993300"/>
      <rgbColor rgb="FF993366"/>
      <rgbColor rgb="FF333399"/>
      <rgbColor rgb="FF1720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45.75" hidden="false" customHeight="true" outlineLevel="0" collapsed="false">
      <c r="A5" s="6" t="s">
        <v>3</v>
      </c>
    </row>
    <row r="6" customFormat="false" ht="15" hidden="false" customHeight="true" outlineLevel="0" collapsed="false">
      <c r="A6" s="4"/>
    </row>
    <row r="7" customFormat="false" ht="15" hidden="false" customHeight="true" outlineLevel="0" collapsed="false">
      <c r="A7" s="5" t="s">
        <v>4</v>
      </c>
    </row>
    <row r="8" customFormat="false" ht="15" hidden="false" customHeight="true" outlineLevel="0" collapsed="false">
      <c r="A8" s="6" t="s">
        <v>5</v>
      </c>
    </row>
    <row r="9" customFormat="false" ht="45.75" hidden="false" customHeight="true" outlineLevel="0" collapsed="false">
      <c r="A9" s="6" t="s">
        <v>6</v>
      </c>
    </row>
    <row r="10" customFormat="false" ht="45.75" hidden="false" customHeight="true" outlineLevel="0" collapsed="false">
      <c r="A10" s="6" t="s">
        <v>7</v>
      </c>
    </row>
    <row r="11" customFormat="false" ht="45.75" hidden="false" customHeight="true" outlineLevel="0" collapsed="false">
      <c r="A11" s="6" t="s">
        <v>8</v>
      </c>
    </row>
    <row r="12" customFormat="false" ht="15" hidden="false" customHeight="true" outlineLevel="0" collapsed="false">
      <c r="A12" s="4"/>
    </row>
    <row r="13" customFormat="false" ht="15" hidden="false" customHeight="true" outlineLevel="0" collapsed="false">
      <c r="A13" s="5" t="s">
        <v>9</v>
      </c>
    </row>
    <row r="14" customFormat="false" ht="45.75" hidden="false" customHeight="true" outlineLevel="0" collapsed="false">
      <c r="A14" s="7" t="s">
        <v>10</v>
      </c>
    </row>
    <row r="15" customFormat="false" ht="15" hidden="false" customHeight="true" outlineLevel="0" collapsed="false">
      <c r="A15" s="4"/>
    </row>
    <row r="16" customFormat="false" ht="15" hidden="false" customHeight="true" outlineLevel="0" collapsed="false">
      <c r="A16" s="5" t="s">
        <v>11</v>
      </c>
    </row>
    <row r="17" customFormat="false" ht="45.75" hidden="false" customHeight="true" outlineLevel="0" collapsed="false">
      <c r="A17" s="7" t="s">
        <v>12</v>
      </c>
    </row>
    <row r="18" customFormat="false" ht="15" hidden="false" customHeight="true" outlineLevel="0" collapsed="false">
      <c r="A18" s="4"/>
    </row>
    <row r="19" customFormat="false" ht="15" hidden="false" customHeight="true" outlineLevel="0" collapsed="false">
      <c r="A19" s="5" t="s">
        <v>13</v>
      </c>
    </row>
    <row r="20" customFormat="false" ht="45.75" hidden="false" customHeight="true" outlineLevel="0" collapsed="false">
      <c r="A20" s="8" t="s">
        <v>14</v>
      </c>
    </row>
    <row r="21" customFormat="false" ht="15" hidden="false" customHeight="true" outlineLevel="0" collapsed="false">
      <c r="A21" s="4"/>
    </row>
    <row r="22" customFormat="false" ht="15" hidden="false" customHeight="true" outlineLevel="0" collapsed="false">
      <c r="A22" s="5" t="s">
        <v>15</v>
      </c>
    </row>
    <row r="23" customFormat="false" ht="45.75" hidden="false" customHeight="true" outlineLevel="0" collapsed="false">
      <c r="A23" s="6"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40"/>
    <col collapsed="false" customWidth="true" hidden="false" outlineLevel="0" max="4" min="4" style="1" width="34"/>
    <col collapsed="false" customWidth="true" hidden="false" outlineLevel="0" max="5" min="5" style="1" width="11"/>
    <col collapsed="false" customWidth="true" hidden="false" outlineLevel="0" max="6" min="6" style="1" width="7"/>
    <col collapsed="false" customWidth="true" hidden="false" outlineLevel="0" max="7" min="7" style="1" width="9"/>
    <col collapsed="false" customWidth="true" hidden="false" outlineLevel="0" max="9" min="8" style="1" width="13"/>
    <col collapsed="false" customWidth="true" hidden="false" outlineLevel="0" max="10" min="10" style="1" width="52"/>
    <col collapsed="false" customWidth="true" hidden="false" outlineLevel="0" max="11" min="11" style="1" width="13"/>
    <col collapsed="false" customWidth="true" hidden="false" outlineLevel="0" max="12" min="12" style="1" width="15"/>
  </cols>
  <sheetData>
    <row r="1" customFormat="false" ht="17.25" hidden="false" customHeight="true" outlineLevel="0" collapsed="false">
      <c r="A1" s="9" t="s">
        <v>17</v>
      </c>
    </row>
    <row r="2" customFormat="false" ht="30" hidden="false" customHeight="true" outlineLevel="0" collapsed="false">
      <c r="A2" s="3" t="s">
        <v>18</v>
      </c>
    </row>
    <row r="4" customFormat="false" ht="15" hidden="false" customHeight="true" outlineLevel="0" collapsed="false">
      <c r="A4" s="10" t="s">
        <v>19</v>
      </c>
      <c r="B4" s="10" t="s">
        <v>20</v>
      </c>
      <c r="C4" s="10" t="s">
        <v>21</v>
      </c>
      <c r="D4" s="10" t="s">
        <v>22</v>
      </c>
      <c r="E4" s="10" t="s">
        <v>23</v>
      </c>
      <c r="F4" s="10" t="s">
        <v>24</v>
      </c>
      <c r="G4" s="10" t="s">
        <v>25</v>
      </c>
      <c r="H4" s="10" t="s">
        <v>26</v>
      </c>
      <c r="I4" s="10" t="s">
        <v>27</v>
      </c>
      <c r="J4" s="10" t="s">
        <v>28</v>
      </c>
      <c r="K4" s="10" t="s">
        <v>29</v>
      </c>
      <c r="L4" s="10" t="s">
        <v>30</v>
      </c>
    </row>
    <row r="5" customFormat="false" ht="42" hidden="false" customHeight="true" outlineLevel="0" collapsed="false">
      <c r="A5" s="11" t="n">
        <v>1</v>
      </c>
      <c r="B5" s="11" t="s">
        <v>31</v>
      </c>
      <c r="C5" s="11" t="s">
        <v>32</v>
      </c>
      <c r="D5" s="11" t="s">
        <v>33</v>
      </c>
      <c r="E5" s="11" t="s">
        <v>34</v>
      </c>
      <c r="F5" s="11" t="s">
        <v>35</v>
      </c>
      <c r="G5" s="11" t="s">
        <v>36</v>
      </c>
      <c r="H5" s="12"/>
      <c r="I5" s="11" t="s">
        <v>37</v>
      </c>
      <c r="J5" s="12"/>
      <c r="K5" s="12"/>
      <c r="L5" s="12"/>
    </row>
    <row r="6" customFormat="false" ht="42" hidden="false" customHeight="true" outlineLevel="0" collapsed="false">
      <c r="A6" s="11" t="n">
        <v>2</v>
      </c>
      <c r="B6" s="11" t="s">
        <v>38</v>
      </c>
      <c r="C6" s="11" t="s">
        <v>39</v>
      </c>
      <c r="D6" s="11" t="s">
        <v>33</v>
      </c>
      <c r="E6" s="11" t="s">
        <v>40</v>
      </c>
      <c r="F6" s="11" t="s">
        <v>41</v>
      </c>
      <c r="G6" s="11" t="s">
        <v>36</v>
      </c>
      <c r="H6" s="12"/>
      <c r="I6" s="11" t="s">
        <v>42</v>
      </c>
      <c r="J6" s="12"/>
      <c r="K6" s="12"/>
      <c r="L6" s="12"/>
    </row>
    <row r="7" customFormat="false" ht="42" hidden="false" customHeight="true" outlineLevel="0" collapsed="false">
      <c r="A7" s="11" t="n">
        <v>3</v>
      </c>
      <c r="B7" s="11" t="s">
        <v>43</v>
      </c>
      <c r="C7" s="11" t="s">
        <v>44</v>
      </c>
      <c r="D7" s="11" t="s">
        <v>33</v>
      </c>
      <c r="E7" s="11" t="s">
        <v>45</v>
      </c>
      <c r="F7" s="11" t="s">
        <v>46</v>
      </c>
      <c r="G7" s="11" t="s">
        <v>36</v>
      </c>
      <c r="H7" s="12"/>
      <c r="I7" s="11" t="s">
        <v>47</v>
      </c>
      <c r="J7" s="12"/>
      <c r="K7" s="12"/>
      <c r="L7" s="12"/>
    </row>
    <row r="8" customFormat="false" ht="42" hidden="false" customHeight="true" outlineLevel="0" collapsed="false">
      <c r="A8" s="11" t="n">
        <v>4</v>
      </c>
      <c r="B8" s="11" t="s">
        <v>48</v>
      </c>
      <c r="C8" s="11" t="s">
        <v>49</v>
      </c>
      <c r="D8" s="11" t="s">
        <v>33</v>
      </c>
      <c r="E8" s="11" t="s">
        <v>50</v>
      </c>
      <c r="F8" s="11" t="s">
        <v>51</v>
      </c>
      <c r="G8" s="11" t="s">
        <v>52</v>
      </c>
      <c r="H8" s="12"/>
      <c r="I8" s="11" t="s">
        <v>53</v>
      </c>
      <c r="J8" s="12"/>
      <c r="K8" s="12"/>
      <c r="L8" s="12"/>
    </row>
    <row r="9" customFormat="false" ht="42" hidden="false" customHeight="true" outlineLevel="0" collapsed="false">
      <c r="A9" s="11" t="n">
        <v>5</v>
      </c>
      <c r="B9" s="11" t="s">
        <v>54</v>
      </c>
      <c r="C9" s="11" t="s">
        <v>55</v>
      </c>
      <c r="D9" s="11" t="s">
        <v>56</v>
      </c>
      <c r="E9" s="11" t="s">
        <v>57</v>
      </c>
      <c r="F9" s="11" t="s">
        <v>57</v>
      </c>
      <c r="G9" s="11" t="s">
        <v>36</v>
      </c>
      <c r="H9" s="12" t="n">
        <v>23</v>
      </c>
      <c r="I9" s="11" t="s">
        <v>47</v>
      </c>
      <c r="J9" s="12" t="s">
        <v>58</v>
      </c>
      <c r="K9" s="12" t="s">
        <v>59</v>
      </c>
      <c r="L9" s="12" t="s">
        <v>60</v>
      </c>
    </row>
    <row r="10" customFormat="false" ht="42" hidden="false" customHeight="true" outlineLevel="0" collapsed="false">
      <c r="A10" s="11" t="n">
        <v>6</v>
      </c>
      <c r="B10" s="11" t="s">
        <v>61</v>
      </c>
      <c r="C10" s="11" t="s">
        <v>62</v>
      </c>
      <c r="D10" s="11" t="s">
        <v>56</v>
      </c>
      <c r="E10" s="11" t="s">
        <v>57</v>
      </c>
      <c r="F10" s="11" t="s">
        <v>57</v>
      </c>
      <c r="G10" s="11" t="s">
        <v>36</v>
      </c>
      <c r="H10" s="12" t="n">
        <v>25</v>
      </c>
      <c r="I10" s="11" t="s">
        <v>47</v>
      </c>
      <c r="J10" s="12" t="s">
        <v>63</v>
      </c>
      <c r="K10" s="12" t="s">
        <v>59</v>
      </c>
      <c r="L10" s="12" t="s">
        <v>60</v>
      </c>
    </row>
    <row r="11" customFormat="false" ht="42" hidden="false" customHeight="true" outlineLevel="0" collapsed="false">
      <c r="A11" s="11" t="n">
        <v>7</v>
      </c>
      <c r="B11" s="11" t="s">
        <v>64</v>
      </c>
      <c r="C11" s="11" t="s">
        <v>65</v>
      </c>
      <c r="D11" s="11" t="s">
        <v>66</v>
      </c>
      <c r="E11" s="11" t="s">
        <v>57</v>
      </c>
      <c r="F11" s="11" t="s">
        <v>57</v>
      </c>
      <c r="G11" s="11" t="s">
        <v>52</v>
      </c>
      <c r="H11" s="12" t="n">
        <v>90</v>
      </c>
      <c r="I11" s="11" t="s">
        <v>67</v>
      </c>
      <c r="J11" s="12" t="s">
        <v>68</v>
      </c>
      <c r="K11" s="12" t="s">
        <v>59</v>
      </c>
      <c r="L11" s="12" t="s">
        <v>60</v>
      </c>
    </row>
    <row r="12" customFormat="false" ht="42" hidden="false" customHeight="true" outlineLevel="0" collapsed="false">
      <c r="A12" s="11" t="n">
        <v>8</v>
      </c>
      <c r="B12" s="11" t="s">
        <v>69</v>
      </c>
      <c r="C12" s="11" t="s">
        <v>70</v>
      </c>
      <c r="D12" s="11" t="s">
        <v>66</v>
      </c>
      <c r="E12" s="11" t="s">
        <v>57</v>
      </c>
      <c r="F12" s="11" t="s">
        <v>57</v>
      </c>
      <c r="G12" s="11" t="s">
        <v>52</v>
      </c>
      <c r="H12" s="12" t="n">
        <v>80</v>
      </c>
      <c r="I12" s="11" t="s">
        <v>67</v>
      </c>
      <c r="J12" s="12" t="s">
        <v>71</v>
      </c>
      <c r="K12" s="12" t="s">
        <v>59</v>
      </c>
      <c r="L12" s="12"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40"/>
    <col collapsed="false" customWidth="true" hidden="false" outlineLevel="0" max="4" min="4" style="1" width="34"/>
    <col collapsed="false" customWidth="true" hidden="false" outlineLevel="0" max="5" min="5" style="1" width="11"/>
    <col collapsed="false" customWidth="true" hidden="false" outlineLevel="0" max="6" min="6" style="1" width="7"/>
    <col collapsed="false" customWidth="true" hidden="false" outlineLevel="0" max="7" min="7" style="1" width="9"/>
    <col collapsed="false" customWidth="true" hidden="false" outlineLevel="0" max="9" min="8" style="1" width="13"/>
    <col collapsed="false" customWidth="true" hidden="false" outlineLevel="0" max="10" min="10" style="1" width="52"/>
    <col collapsed="false" customWidth="true" hidden="false" outlineLevel="0" max="11" min="11" style="1" width="13"/>
    <col collapsed="false" customWidth="true" hidden="false" outlineLevel="0" max="12" min="12" style="1" width="15"/>
  </cols>
  <sheetData>
    <row r="1" customFormat="false" ht="17.25" hidden="false" customHeight="true" outlineLevel="0" collapsed="false">
      <c r="A1" s="9" t="s">
        <v>72</v>
      </c>
    </row>
    <row r="2" customFormat="false" ht="30" hidden="false" customHeight="true" outlineLevel="0" collapsed="false">
      <c r="A2" s="3" t="s">
        <v>73</v>
      </c>
    </row>
    <row r="4" customFormat="false" ht="15" hidden="false" customHeight="true" outlineLevel="0" collapsed="false">
      <c r="A4" s="10" t="s">
        <v>19</v>
      </c>
      <c r="B4" s="10" t="s">
        <v>20</v>
      </c>
      <c r="C4" s="10" t="s">
        <v>21</v>
      </c>
      <c r="D4" s="10" t="s">
        <v>22</v>
      </c>
      <c r="E4" s="10" t="s">
        <v>23</v>
      </c>
      <c r="F4" s="10" t="s">
        <v>24</v>
      </c>
      <c r="G4" s="10" t="s">
        <v>25</v>
      </c>
      <c r="H4" s="10" t="s">
        <v>26</v>
      </c>
      <c r="I4" s="10" t="s">
        <v>27</v>
      </c>
      <c r="J4" s="10" t="s">
        <v>28</v>
      </c>
      <c r="K4" s="10" t="s">
        <v>29</v>
      </c>
      <c r="L4" s="10" t="s">
        <v>30</v>
      </c>
    </row>
    <row r="5" customFormat="false" ht="42" hidden="false" customHeight="true" outlineLevel="0" collapsed="false">
      <c r="A5" s="11" t="n">
        <v>9</v>
      </c>
      <c r="B5" s="11" t="s">
        <v>74</v>
      </c>
      <c r="C5" s="11" t="s">
        <v>75</v>
      </c>
      <c r="D5" s="11" t="s">
        <v>76</v>
      </c>
      <c r="E5" s="11" t="s">
        <v>77</v>
      </c>
      <c r="F5" s="11" t="s">
        <v>78</v>
      </c>
      <c r="G5" s="11" t="s">
        <v>79</v>
      </c>
      <c r="H5" s="12"/>
      <c r="I5" s="11" t="s">
        <v>80</v>
      </c>
      <c r="J5" s="12"/>
      <c r="K5" s="12"/>
      <c r="L5" s="12"/>
    </row>
    <row r="6" customFormat="false" ht="42" hidden="false" customHeight="true" outlineLevel="0" collapsed="false">
      <c r="A6" s="11" t="n">
        <v>10</v>
      </c>
      <c r="B6" s="11" t="s">
        <v>81</v>
      </c>
      <c r="C6" s="11" t="s">
        <v>82</v>
      </c>
      <c r="D6" s="11" t="s">
        <v>83</v>
      </c>
      <c r="E6" s="11" t="s">
        <v>57</v>
      </c>
      <c r="F6" s="11" t="s">
        <v>57</v>
      </c>
      <c r="G6" s="11" t="s">
        <v>36</v>
      </c>
      <c r="H6" s="12"/>
      <c r="I6" s="11" t="s">
        <v>84</v>
      </c>
      <c r="J6" s="12"/>
      <c r="K6" s="12"/>
      <c r="L6" s="12"/>
    </row>
    <row r="7" customFormat="false" ht="42" hidden="false" customHeight="true" outlineLevel="0" collapsed="false">
      <c r="A7" s="11" t="n">
        <v>11</v>
      </c>
      <c r="B7" s="11" t="s">
        <v>85</v>
      </c>
      <c r="C7" s="11" t="s">
        <v>86</v>
      </c>
      <c r="D7" s="11" t="s">
        <v>87</v>
      </c>
      <c r="E7" s="11" t="s">
        <v>57</v>
      </c>
      <c r="F7" s="11" t="s">
        <v>57</v>
      </c>
      <c r="G7" s="11" t="s">
        <v>36</v>
      </c>
      <c r="H7" s="12"/>
      <c r="I7" s="11" t="s">
        <v>37</v>
      </c>
      <c r="J7" s="12"/>
      <c r="K7" s="12"/>
      <c r="L7" s="12"/>
    </row>
    <row r="8" customFormat="false" ht="42" hidden="false" customHeight="true" outlineLevel="0" collapsed="false">
      <c r="A8" s="11" t="n">
        <v>12</v>
      </c>
      <c r="B8" s="11" t="s">
        <v>88</v>
      </c>
      <c r="C8" s="11" t="s">
        <v>89</v>
      </c>
      <c r="D8" s="11" t="s">
        <v>90</v>
      </c>
      <c r="E8" s="11" t="s">
        <v>57</v>
      </c>
      <c r="F8" s="11" t="s">
        <v>57</v>
      </c>
      <c r="G8" s="11" t="s">
        <v>36</v>
      </c>
      <c r="H8" s="12"/>
      <c r="I8" s="11" t="s">
        <v>42</v>
      </c>
      <c r="J8" s="12"/>
      <c r="K8" s="12"/>
      <c r="L8" s="12"/>
    </row>
    <row r="9" customFormat="false" ht="42" hidden="false" customHeight="true" outlineLevel="0" collapsed="false">
      <c r="A9" s="11" t="n">
        <v>13</v>
      </c>
      <c r="B9" s="11" t="s">
        <v>91</v>
      </c>
      <c r="C9" s="11" t="s">
        <v>92</v>
      </c>
      <c r="D9" s="11" t="s">
        <v>93</v>
      </c>
      <c r="E9" s="11" t="s">
        <v>57</v>
      </c>
      <c r="F9" s="11" t="s">
        <v>57</v>
      </c>
      <c r="G9" s="11" t="s">
        <v>52</v>
      </c>
      <c r="H9" s="12"/>
      <c r="I9" s="11" t="s">
        <v>94</v>
      </c>
      <c r="J9" s="12"/>
      <c r="K9" s="12"/>
      <c r="L9"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40"/>
    <col collapsed="false" customWidth="true" hidden="false" outlineLevel="0" max="4" min="4" style="1" width="34"/>
    <col collapsed="false" customWidth="true" hidden="false" outlineLevel="0" max="5" min="5" style="1" width="11"/>
    <col collapsed="false" customWidth="true" hidden="false" outlineLevel="0" max="6" min="6" style="1" width="7"/>
    <col collapsed="false" customWidth="true" hidden="false" outlineLevel="0" max="7" min="7" style="1" width="9"/>
    <col collapsed="false" customWidth="true" hidden="false" outlineLevel="0" max="9" min="8" style="1" width="13"/>
    <col collapsed="false" customWidth="true" hidden="false" outlineLevel="0" max="10" min="10" style="1" width="52"/>
    <col collapsed="false" customWidth="true" hidden="false" outlineLevel="0" max="11" min="11" style="1" width="13"/>
    <col collapsed="false" customWidth="true" hidden="false" outlineLevel="0" max="12" min="12" style="1" width="15"/>
  </cols>
  <sheetData>
    <row r="1" customFormat="false" ht="17.25" hidden="false" customHeight="true" outlineLevel="0" collapsed="false">
      <c r="A1" s="9" t="s">
        <v>95</v>
      </c>
    </row>
    <row r="2" customFormat="false" ht="30" hidden="false" customHeight="true" outlineLevel="0" collapsed="false">
      <c r="A2" s="3" t="s">
        <v>96</v>
      </c>
    </row>
    <row r="4" customFormat="false" ht="15" hidden="false" customHeight="true" outlineLevel="0" collapsed="false">
      <c r="A4" s="10" t="s">
        <v>19</v>
      </c>
      <c r="B4" s="10" t="s">
        <v>20</v>
      </c>
      <c r="C4" s="10" t="s">
        <v>21</v>
      </c>
      <c r="D4" s="10" t="s">
        <v>22</v>
      </c>
      <c r="E4" s="10" t="s">
        <v>23</v>
      </c>
      <c r="F4" s="10" t="s">
        <v>24</v>
      </c>
      <c r="G4" s="10" t="s">
        <v>25</v>
      </c>
      <c r="H4" s="10" t="s">
        <v>26</v>
      </c>
      <c r="I4" s="10" t="s">
        <v>27</v>
      </c>
      <c r="J4" s="10" t="s">
        <v>28</v>
      </c>
      <c r="K4" s="10" t="s">
        <v>29</v>
      </c>
      <c r="L4" s="10" t="s">
        <v>30</v>
      </c>
    </row>
    <row r="5" customFormat="false" ht="42" hidden="false" customHeight="true" outlineLevel="0" collapsed="false">
      <c r="A5" s="11" t="n">
        <v>14</v>
      </c>
      <c r="B5" s="11" t="s">
        <v>97</v>
      </c>
      <c r="C5" s="11" t="s">
        <v>98</v>
      </c>
      <c r="D5" s="11" t="s">
        <v>99</v>
      </c>
      <c r="E5" s="11" t="s">
        <v>57</v>
      </c>
      <c r="F5" s="11" t="s">
        <v>57</v>
      </c>
      <c r="G5" s="11" t="s">
        <v>79</v>
      </c>
      <c r="H5" s="12" t="s">
        <v>100</v>
      </c>
      <c r="I5" s="11" t="s">
        <v>101</v>
      </c>
      <c r="J5" s="12" t="s">
        <v>102</v>
      </c>
      <c r="K5" s="12" t="s">
        <v>59</v>
      </c>
      <c r="L5" s="12" t="s">
        <v>103</v>
      </c>
    </row>
    <row r="6" customFormat="false" ht="42" hidden="false" customHeight="true" outlineLevel="0" collapsed="false">
      <c r="A6" s="11" t="n">
        <v>15</v>
      </c>
      <c r="B6" s="11" t="s">
        <v>104</v>
      </c>
      <c r="C6" s="11" t="s">
        <v>105</v>
      </c>
      <c r="D6" s="11" t="s">
        <v>106</v>
      </c>
      <c r="E6" s="11" t="s">
        <v>57</v>
      </c>
      <c r="F6" s="11" t="s">
        <v>57</v>
      </c>
      <c r="G6" s="11" t="s">
        <v>79</v>
      </c>
      <c r="H6" s="12" t="n">
        <v>-0.82</v>
      </c>
      <c r="I6" s="11" t="s">
        <v>101</v>
      </c>
      <c r="J6" s="12" t="s">
        <v>107</v>
      </c>
      <c r="K6" s="12" t="s">
        <v>59</v>
      </c>
      <c r="L6" s="12" t="s">
        <v>60</v>
      </c>
    </row>
    <row r="7" customFormat="false" ht="42" hidden="false" customHeight="true" outlineLevel="0" collapsed="false">
      <c r="A7" s="11" t="n">
        <v>16</v>
      </c>
      <c r="B7" s="11" t="s">
        <v>108</v>
      </c>
      <c r="C7" s="11" t="s">
        <v>109</v>
      </c>
      <c r="D7" s="11" t="s">
        <v>110</v>
      </c>
      <c r="E7" s="11" t="s">
        <v>57</v>
      </c>
      <c r="F7" s="11" t="s">
        <v>57</v>
      </c>
      <c r="G7" s="11" t="s">
        <v>79</v>
      </c>
      <c r="H7" s="12" t="n">
        <v>-0.81</v>
      </c>
      <c r="I7" s="11" t="s">
        <v>101</v>
      </c>
      <c r="J7" s="12" t="s">
        <v>111</v>
      </c>
      <c r="K7" s="12" t="s">
        <v>59</v>
      </c>
      <c r="L7" s="12" t="s">
        <v>103</v>
      </c>
    </row>
    <row r="8" customFormat="false" ht="42" hidden="false" customHeight="true" outlineLevel="0" collapsed="false">
      <c r="A8" s="11" t="n">
        <v>17</v>
      </c>
      <c r="B8" s="11" t="s">
        <v>112</v>
      </c>
      <c r="C8" s="11" t="s">
        <v>113</v>
      </c>
      <c r="D8" s="11" t="s">
        <v>114</v>
      </c>
      <c r="E8" s="11" t="s">
        <v>57</v>
      </c>
      <c r="F8" s="11" t="s">
        <v>57</v>
      </c>
      <c r="G8" s="11" t="s">
        <v>79</v>
      </c>
      <c r="H8" s="12"/>
      <c r="I8" s="11" t="s">
        <v>115</v>
      </c>
      <c r="J8" s="12"/>
      <c r="K8" s="12"/>
      <c r="L8" s="12"/>
    </row>
    <row r="9" customFormat="false" ht="42" hidden="false" customHeight="true" outlineLevel="0" collapsed="false">
      <c r="A9" s="11" t="n">
        <v>18</v>
      </c>
      <c r="B9" s="11" t="s">
        <v>116</v>
      </c>
      <c r="C9" s="11" t="s">
        <v>117</v>
      </c>
      <c r="D9" s="11" t="s">
        <v>118</v>
      </c>
      <c r="E9" s="11" t="s">
        <v>57</v>
      </c>
      <c r="F9" s="11" t="s">
        <v>57</v>
      </c>
      <c r="G9" s="11" t="s">
        <v>79</v>
      </c>
      <c r="H9" s="12"/>
      <c r="I9" s="11" t="s">
        <v>115</v>
      </c>
      <c r="J9" s="12"/>
      <c r="K9" s="12"/>
      <c r="L9" s="12"/>
    </row>
    <row r="10" customFormat="false" ht="42" hidden="false" customHeight="true" outlineLevel="0" collapsed="false">
      <c r="A10" s="11" t="n">
        <v>19</v>
      </c>
      <c r="B10" s="11" t="s">
        <v>119</v>
      </c>
      <c r="C10" s="11" t="s">
        <v>120</v>
      </c>
      <c r="D10" s="11" t="s">
        <v>121</v>
      </c>
      <c r="E10" s="11" t="s">
        <v>57</v>
      </c>
      <c r="F10" s="11" t="s">
        <v>57</v>
      </c>
      <c r="G10" s="11" t="s">
        <v>79</v>
      </c>
      <c r="H10" s="12"/>
      <c r="I10" s="11" t="s">
        <v>115</v>
      </c>
      <c r="J10" s="12"/>
      <c r="K10" s="12"/>
      <c r="L10" s="12"/>
    </row>
    <row r="11" customFormat="false" ht="42" hidden="false" customHeight="true" outlineLevel="0" collapsed="false">
      <c r="A11" s="11" t="n">
        <v>20</v>
      </c>
      <c r="B11" s="11" t="s">
        <v>122</v>
      </c>
      <c r="C11" s="11" t="s">
        <v>123</v>
      </c>
      <c r="D11" s="11" t="s">
        <v>124</v>
      </c>
      <c r="E11" s="11" t="s">
        <v>57</v>
      </c>
      <c r="F11" s="11" t="s">
        <v>57</v>
      </c>
      <c r="G11" s="11" t="s">
        <v>36</v>
      </c>
      <c r="H11" s="12" t="n">
        <v>0.81</v>
      </c>
      <c r="I11" s="11" t="s">
        <v>101</v>
      </c>
      <c r="J11" s="12" t="s">
        <v>125</v>
      </c>
      <c r="K11" s="12" t="s">
        <v>59</v>
      </c>
      <c r="L11" s="12" t="s">
        <v>103</v>
      </c>
    </row>
    <row r="12" customFormat="false" ht="42" hidden="false" customHeight="true" outlineLevel="0" collapsed="false">
      <c r="A12" s="11" t="n">
        <v>21</v>
      </c>
      <c r="B12" s="11" t="s">
        <v>126</v>
      </c>
      <c r="C12" s="11" t="s">
        <v>127</v>
      </c>
      <c r="D12" s="11" t="s">
        <v>128</v>
      </c>
      <c r="E12" s="11" t="s">
        <v>57</v>
      </c>
      <c r="F12" s="11" t="s">
        <v>57</v>
      </c>
      <c r="G12" s="11" t="s">
        <v>36</v>
      </c>
      <c r="H12" s="12"/>
      <c r="I12" s="11" t="s">
        <v>129</v>
      </c>
      <c r="J12" s="12"/>
      <c r="K12" s="12"/>
      <c r="L12" s="12"/>
    </row>
    <row r="13" customFormat="false" ht="42" hidden="false" customHeight="true" outlineLevel="0" collapsed="false">
      <c r="A13" s="11" t="n">
        <v>22</v>
      </c>
      <c r="B13" s="11" t="s">
        <v>130</v>
      </c>
      <c r="C13" s="11" t="s">
        <v>131</v>
      </c>
      <c r="D13" s="11" t="s">
        <v>132</v>
      </c>
      <c r="E13" s="11" t="s">
        <v>57</v>
      </c>
      <c r="F13" s="11" t="s">
        <v>57</v>
      </c>
      <c r="G13" s="11" t="s">
        <v>79</v>
      </c>
      <c r="H13" s="12"/>
      <c r="I13" s="11" t="s">
        <v>129</v>
      </c>
      <c r="J13" s="12"/>
      <c r="K13" s="12"/>
      <c r="L13" s="12"/>
    </row>
    <row r="14" customFormat="false" ht="42" hidden="false" customHeight="true" outlineLevel="0" collapsed="false">
      <c r="A14" s="11" t="n">
        <v>23</v>
      </c>
      <c r="B14" s="11" t="s">
        <v>133</v>
      </c>
      <c r="C14" s="11" t="s">
        <v>134</v>
      </c>
      <c r="D14" s="11" t="s">
        <v>135</v>
      </c>
      <c r="E14" s="11" t="s">
        <v>57</v>
      </c>
      <c r="F14" s="11" t="s">
        <v>57</v>
      </c>
      <c r="G14" s="11" t="s">
        <v>36</v>
      </c>
      <c r="H14" s="12" t="s">
        <v>136</v>
      </c>
      <c r="I14" s="11" t="s">
        <v>42</v>
      </c>
      <c r="J14" s="12" t="s">
        <v>137</v>
      </c>
      <c r="K14" s="12" t="s">
        <v>59</v>
      </c>
      <c r="L14" s="12" t="s">
        <v>103</v>
      </c>
    </row>
    <row r="15" customFormat="false" ht="42" hidden="false" customHeight="true" outlineLevel="0" collapsed="false">
      <c r="A15" s="11" t="n">
        <v>24</v>
      </c>
      <c r="B15" s="11" t="s">
        <v>138</v>
      </c>
      <c r="C15" s="11" t="s">
        <v>139</v>
      </c>
      <c r="D15" s="11" t="s">
        <v>135</v>
      </c>
      <c r="E15" s="11" t="s">
        <v>57</v>
      </c>
      <c r="F15" s="11" t="s">
        <v>57</v>
      </c>
      <c r="G15" s="11" t="s">
        <v>36</v>
      </c>
      <c r="H15" s="12" t="s">
        <v>140</v>
      </c>
      <c r="I15" s="11" t="s">
        <v>141</v>
      </c>
      <c r="J15" s="12" t="s">
        <v>142</v>
      </c>
      <c r="K15" s="12" t="s">
        <v>59</v>
      </c>
      <c r="L15" s="12" t="s">
        <v>103</v>
      </c>
    </row>
    <row r="16" customFormat="false" ht="42" hidden="false" customHeight="true" outlineLevel="0" collapsed="false">
      <c r="A16" s="11" t="n">
        <v>25</v>
      </c>
      <c r="B16" s="11" t="s">
        <v>143</v>
      </c>
      <c r="C16" s="11" t="s">
        <v>144</v>
      </c>
      <c r="D16" s="11" t="s">
        <v>145</v>
      </c>
      <c r="E16" s="11" t="s">
        <v>57</v>
      </c>
      <c r="F16" s="11" t="s">
        <v>57</v>
      </c>
      <c r="G16" s="11" t="s">
        <v>36</v>
      </c>
      <c r="H16" s="12" t="s">
        <v>146</v>
      </c>
      <c r="I16" s="11" t="s">
        <v>147</v>
      </c>
      <c r="J16" s="12" t="s">
        <v>148</v>
      </c>
      <c r="K16" s="12" t="s">
        <v>59</v>
      </c>
      <c r="L16" s="12"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4" min="3" style="1" width="11"/>
    <col collapsed="false" customWidth="true" hidden="false" outlineLevel="0" max="5" min="5" style="1" width="16"/>
    <col collapsed="false" customWidth="true" hidden="false" outlineLevel="0" max="6" min="6" style="1" width="13"/>
  </cols>
  <sheetData>
    <row r="1" customFormat="false" ht="17.25" hidden="false" customHeight="true" outlineLevel="0" collapsed="false">
      <c r="A1" s="9" t="s">
        <v>149</v>
      </c>
    </row>
    <row r="2" customFormat="false" ht="45.75" hidden="false" customHeight="true" outlineLevel="0" collapsed="false">
      <c r="A2" s="3" t="s">
        <v>150</v>
      </c>
    </row>
    <row r="4" customFormat="false" ht="15" hidden="false" customHeight="true" outlineLevel="0" collapsed="false">
      <c r="A4" s="10" t="s">
        <v>151</v>
      </c>
      <c r="B4" s="10" t="s">
        <v>152</v>
      </c>
      <c r="C4" s="10" t="s">
        <v>153</v>
      </c>
      <c r="D4" s="10" t="s">
        <v>154</v>
      </c>
      <c r="E4" s="10" t="s">
        <v>155</v>
      </c>
      <c r="F4" s="10" t="s">
        <v>156</v>
      </c>
    </row>
    <row r="5" customFormat="false" ht="15" hidden="false" customHeight="true" outlineLevel="0" collapsed="false">
      <c r="A5" s="13" t="s">
        <v>17</v>
      </c>
      <c r="B5" s="13" t="n">
        <v>8</v>
      </c>
      <c r="C5" s="13" t="n">
        <f aca="false">COUNTIF('1 LASI and thresholds'!$L$5:$L$12,"verified")</f>
        <v>4</v>
      </c>
      <c r="D5" s="13" t="n">
        <f aca="false">COUNTIF('1 LASI and thresholds'!$L$5:$L$12,"not found")</f>
        <v>0</v>
      </c>
      <c r="E5" s="13" t="n">
        <f aca="false">COUNTIF('1 LASI and thresholds'!$L$5:$L$12,"needs decision")</f>
        <v>0</v>
      </c>
      <c r="F5" s="13" t="n">
        <f aca="false">B5-C5</f>
        <v>4</v>
      </c>
    </row>
    <row r="6" customFormat="false" ht="15" hidden="false" customHeight="true" outlineLevel="0" collapsed="false">
      <c r="A6" s="13" t="s">
        <v>72</v>
      </c>
      <c r="B6" s="13" t="n">
        <v>5</v>
      </c>
      <c r="C6" s="13" t="n">
        <f aca="false">COUNTIF('2 Cohort covariates'!$L$5:$L$9,"verified")</f>
        <v>0</v>
      </c>
      <c r="D6" s="13" t="n">
        <f aca="false">COUNTIF('2 Cohort covariates'!$L$5:$L$9,"not found")</f>
        <v>0</v>
      </c>
      <c r="E6" s="13" t="n">
        <f aca="false">COUNTIF('2 Cohort covariates'!$L$5:$L$9,"needs decision")</f>
        <v>0</v>
      </c>
      <c r="F6" s="13" t="n">
        <f aca="false">B6-C6</f>
        <v>5</v>
      </c>
    </row>
    <row r="7" customFormat="false" ht="15" hidden="false" customHeight="true" outlineLevel="0" collapsed="false">
      <c r="A7" s="13" t="s">
        <v>95</v>
      </c>
      <c r="B7" s="13" t="n">
        <v>12</v>
      </c>
      <c r="C7" s="13" t="n">
        <f aca="false">COUNTIF('3 Treatment effects'!$L$5:$L$16,"verified")</f>
        <v>1</v>
      </c>
      <c r="D7" s="13" t="n">
        <f aca="false">COUNTIF('3 Treatment effects'!$L$5:$L$16,"not found")</f>
        <v>0</v>
      </c>
      <c r="E7" s="13" t="n">
        <f aca="false">COUNTIF('3 Treatment effects'!$L$5:$L$16,"needs decision")</f>
        <v>6</v>
      </c>
      <c r="F7" s="13" t="n">
        <f aca="false">B7-C7</f>
        <v>11</v>
      </c>
    </row>
    <row r="8" customFormat="false" ht="15" hidden="false" customHeight="true" outlineLevel="0" collapsed="false">
      <c r="A8" s="14" t="s">
        <v>157</v>
      </c>
      <c r="B8" s="14" t="n">
        <f aca="false">SUM(B5:B7)</f>
        <v>25</v>
      </c>
      <c r="C8" s="14" t="n">
        <f aca="false">SUM(C5:C7)</f>
        <v>5</v>
      </c>
      <c r="D8" s="14" t="n">
        <f aca="false">SUM(D5:D7)</f>
        <v>0</v>
      </c>
      <c r="E8" s="14" t="n">
        <f aca="false">SUM(E5:E7)</f>
        <v>6</v>
      </c>
      <c r="F8" s="14" t="n">
        <f aca="false">SUM(F5:F7)</f>
        <v>20</v>
      </c>
    </row>
    <row r="10" customFormat="false" ht="15" hidden="false" customHeight="true" outlineLevel="0" collapsed="false">
      <c r="A10" s="15" t="s">
        <v>158</v>
      </c>
    </row>
    <row r="11" customFormat="false" ht="31.5" hidden="false" customHeight="true" outlineLevel="0" collapsed="false">
      <c r="A11" s="6" t="s">
        <v>159</v>
      </c>
    </row>
    <row r="13" customFormat="false" ht="15" hidden="false" customHeight="true" outlineLevel="0" collapsed="false">
      <c r="A13" s="15" t="s">
        <v>160</v>
      </c>
    </row>
    <row r="14" customFormat="false" ht="45.75" hidden="false" customHeight="true" outlineLevel="0" collapsed="false">
      <c r="A14" s="7"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2026-09-14T20:25:24Z</dcterms:created>
  <dc:creator>openpyxl</dc:creator>
  <dc:description/>
  <dc:language>en-US</dc:language>
  <cp:lastModifiedBy/>
  <dcterms:modified xsi:type="dcterms:W3CDTF">2026-09-19T07:20:29Z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